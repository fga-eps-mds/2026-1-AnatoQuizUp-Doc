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ário" sheetId="1" r:id="rId5"/>
    <sheet state="visible" name="EVM - Valor agregado" sheetId="2" r:id="rId6"/>
    <sheet state="visible" name="Matriz de Riscos" sheetId="3" r:id="rId7"/>
    <sheet state="visible" name="Indices e Burndown" sheetId="4" r:id="rId8"/>
    <sheet state="visible" name="Velocity" sheetId="5" r:id="rId9"/>
    <sheet state="visible" name="Custo" sheetId="6" r:id="rId10"/>
    <sheet state="visible" name="Sonar" sheetId="7" r:id="rId11"/>
  </sheets>
  <definedNames/>
  <calcPr/>
</workbook>
</file>

<file path=xl/sharedStrings.xml><?xml version="1.0" encoding="utf-8"?>
<sst xmlns="http://schemas.openxmlformats.org/spreadsheetml/2006/main" count="243" uniqueCount="186">
  <si>
    <t>EVM-Ágil — AnatoQuizUp | 2026.1</t>
  </si>
  <si>
    <t>Professor: Hilmer Neri  |  Período: 17/03/2026 – 31/05/2026  |  12 membros  |  R$ 20,00/hora</t>
  </si>
  <si>
    <t>Releases</t>
  </si>
  <si>
    <t>Pontuação (PRP)</t>
  </si>
  <si>
    <t>Início</t>
  </si>
  <si>
    <t>Fim</t>
  </si>
  <si>
    <t>Custo (R$)</t>
  </si>
  <si>
    <t>R1</t>
  </si>
  <si>
    <t>R2</t>
  </si>
  <si>
    <t>R3</t>
  </si>
  <si>
    <t>Parâmetros do Projeto</t>
  </si>
  <si>
    <t>Sprints planejadas (R1)</t>
  </si>
  <si>
    <t>Pontos totais planejados (R1)</t>
  </si>
  <si>
    <t>BAC — Orçamento total do projeto (R$)</t>
  </si>
  <si>
    <t>Custo por hora (R$)</t>
  </si>
  <si>
    <t>Número de membros</t>
  </si>
  <si>
    <t>Horas/semana por membro</t>
  </si>
  <si>
    <t>Semanas totais (19/04–29/06)</t>
  </si>
  <si>
    <t>Release</t>
  </si>
  <si>
    <t>PRP</t>
  </si>
  <si>
    <t>Sprint</t>
  </si>
  <si>
    <t>US's / Tarefas</t>
  </si>
  <si>
    <t>PP
(Pts Plan.)</t>
  </si>
  <si>
    <t>PC
(Pts Conc.)</t>
  </si>
  <si>
    <t>PA
(Pts Adic.)</t>
  </si>
  <si>
    <t>PRP
Acum.</t>
  </si>
  <si>
    <t>RPC
Acum.</t>
  </si>
  <si>
    <t>APC
(% Real)</t>
  </si>
  <si>
    <t>PPC
(% Plan.)</t>
  </si>
  <si>
    <t>PV
(R$)</t>
  </si>
  <si>
    <t>BAC
(R$)</t>
  </si>
  <si>
    <t>SC
(R$)</t>
  </si>
  <si>
    <t>AC
(R$)</t>
  </si>
  <si>
    <t>EV
(R$)</t>
  </si>
  <si>
    <t>CV
(R$)</t>
  </si>
  <si>
    <t>SV
(R$)</t>
  </si>
  <si>
    <t>CPI</t>
  </si>
  <si>
    <t>SPI</t>
  </si>
  <si>
    <t>ETC
(R$)</t>
  </si>
  <si>
    <t>EAC
(R$)</t>
  </si>
  <si>
    <t>US01-US08
TASK09-TASK16</t>
  </si>
  <si>
    <t>Matriz de Riscos — R1</t>
  </si>
  <si>
    <t>P e I: escala 1 (baixa) a 5 (alta). Score = P × I. Riscos &gt;= 16 têm plano detalhado.</t>
  </si>
  <si>
    <t>#</t>
  </si>
  <si>
    <t>Risco</t>
  </si>
  <si>
    <t>Categoria</t>
  </si>
  <si>
    <t>Prob</t>
  </si>
  <si>
    <t>Imp</t>
  </si>
  <si>
    <t>Score</t>
  </si>
  <si>
    <t>Estratégia</t>
  </si>
  <si>
    <t>Plano de Resposta</t>
  </si>
  <si>
    <t>R01</t>
  </si>
  <si>
    <t>Mudanças tardias de escopo pelos POs</t>
  </si>
  <si>
    <t>Cliente</t>
  </si>
  <si>
    <t>Mitigar</t>
  </si>
  <si>
    <t>PDF deixa claro escopo R1. Alteração só entra na R2. Registrar como decisão em MD.</t>
  </si>
  <si>
    <t>R02</t>
  </si>
  <si>
    <t>Membros do time inativos no WhatsApp / sumindo</t>
  </si>
  <si>
    <t>Equipe</t>
  </si>
  <si>
    <t>Nunca alocar crítico exclusivamente a desengajado. Pareamento obrigatório. Daily cobra progresso.</t>
  </si>
  <si>
    <t>R03</t>
  </si>
  <si>
    <t>Ausências por feriados, viagens ou outras disciplinas</t>
  </si>
  <si>
    <t>Levantar disponibilidade individual no início.</t>
  </si>
  <si>
    <t>R04</t>
  </si>
  <si>
    <t>Deploy em produção quebra perto da entrega (27/04)</t>
  </si>
  <si>
    <t>Técnico</t>
  </si>
  <si>
    <t>Hello world deployado dia 19/04. Deploy intermediário a cada minor release.</t>
  </si>
  <si>
    <t>R05</t>
  </si>
  <si>
    <t>Cobertura de testes não atinge 85% (CI bloqueia merge)</t>
  </si>
  <si>
    <t>Qualidade</t>
  </si>
  <si>
    <t>Branch protection bloqueia merge &lt;85% desde PR #1.</t>
  </si>
  <si>
    <t>R06</t>
  </si>
  <si>
    <t>Mudança de SSO para SIAPE atrasou</t>
  </si>
  <si>
    <t>Escopo</t>
  </si>
  <si>
    <t>Aceitar</t>
  </si>
  <si>
    <t>Decisão fechada documentada em MD. Cadeado de escopo na R1. Qualquer rediscussão entra como débito para R2.</t>
  </si>
  <si>
    <t>R07</t>
  </si>
  <si>
    <t>Docker no Windows com problemas de configuração</t>
  </si>
  <si>
    <t>Infra</t>
  </si>
  <si>
    <t>Time se ajuda no Discord. Setup documentado em README do back.</t>
  </si>
  <si>
    <t>R08</t>
  </si>
  <si>
    <t>PR não revisado a tempo (gargalo na review)</t>
  </si>
  <si>
    <t>Processo</t>
  </si>
  <si>
    <t>Avisar abertura de PR no whatsapp, board segue o fluxo de direita pra esquerda para dar prioridade a reviews.</t>
  </si>
  <si>
    <t>R09</t>
  </si>
  <si>
    <t>Conflitos de merge complexos com 4 duplas paralelas</t>
  </si>
  <si>
    <t>Branches curtas (máx 2 dias). Rebase frequente da main.</t>
  </si>
  <si>
    <t>R10</t>
  </si>
  <si>
    <t>Discrepância PT-BR vs EN entre back e front gera bugs</t>
  </si>
  <si>
    <t>Checklist no template de PR. Refator imediato se encontrar mistura.</t>
  </si>
  <si>
    <t>R11</t>
  </si>
  <si>
    <t>Protótipos atrasarem e bloquearem devs frontend</t>
  </si>
  <si>
    <t>Check diário</t>
  </si>
  <si>
    <t>R12</t>
  </si>
  <si>
    <t>Mocks no authService não removidos antes da entrega</t>
  </si>
  <si>
    <t>Flag VITE_USAR_MOCKS=true/false desde o início. Item explícito no checklist de pré-deploy: garantir flag false em produção.</t>
  </si>
  <si>
    <t>R13</t>
  </si>
  <si>
    <t>SonarCloud quality gate falhar perto do code freeze</t>
  </si>
  <si>
    <t>1 dono de pipeline (Victor). Templates de workflow compartilhados. Code review observa code smells antes do PR subir.</t>
  </si>
  <si>
    <t>R14</t>
  </si>
  <si>
    <t>Variáveis de ambiente sensíveis commitadas por engano</t>
  </si>
  <si>
    <t>Segurança</t>
  </si>
  <si>
    <t>.env no .gitignore desde commit 1. Pre-commit hook com gitleaks. Code review observa env hardcoded. Secrets reais só no Railway/Vercel.</t>
  </si>
  <si>
    <t>R15</t>
  </si>
  <si>
    <t>Validação dos POs identifica gap não mapeado na apresentação</t>
  </si>
  <si>
    <t>Ensaio interno completo no domingo 26/04 com role-play. Validar com POs em release minor antes (RM1 já enviada). Checklist de critérios aberto na apresentação.</t>
  </si>
  <si>
    <t>R16</t>
  </si>
  <si>
    <t>Falta de domínio sobre Microsoft Graph API (caso voltem ao SSO)</t>
  </si>
  <si>
    <t>Sem ação preventiva. Decisão de SSO já descartada para R1.</t>
  </si>
  <si>
    <t>R17</t>
  </si>
  <si>
    <t>Setup inicial demorado por integração entre 4 repos</t>
  </si>
  <si>
    <t>README claro em cada repo. Docker-compose unificado para back + banco. Tempo de onboarding monitorado nas dailys.</t>
  </si>
  <si>
    <t>R18</t>
  </si>
  <si>
    <t>Funcionalidade de email cair em produção (Resend/Gmail bloqueando)</t>
  </si>
  <si>
    <t>Spike TASK06 escolhe provedor confiável. Provedor secundário configurado mas inativo como fallback. Logar todos os envios.</t>
  </si>
  <si>
    <t>R19</t>
  </si>
  <si>
    <t>R20</t>
  </si>
  <si>
    <t>R21</t>
  </si>
  <si>
    <t>R22</t>
  </si>
  <si>
    <t>R23</t>
  </si>
  <si>
    <t>R24</t>
  </si>
  <si>
    <t>Legenda do Score</t>
  </si>
  <si>
    <t>Score &gt;= 16 — Crítico (plano detalhado)</t>
  </si>
  <si>
    <t>Score 9-15 — Atenção</t>
  </si>
  <si>
    <t>Score &lt;= 8 — Baixo</t>
  </si>
  <si>
    <t>Date</t>
  </si>
  <si>
    <t>Total</t>
  </si>
  <si>
    <t>Remaining</t>
  </si>
  <si>
    <t>Completed</t>
  </si>
  <si>
    <t>Ideal</t>
  </si>
  <si>
    <t>Issues Completed</t>
  </si>
  <si>
    <t>0.00</t>
  </si>
  <si>
    <t>15.40</t>
  </si>
  <si>
    <t>30.80</t>
  </si>
  <si>
    <t>46.20</t>
  </si>
  <si>
    <t>61.60</t>
  </si>
  <si>
    <t>113,119,3,9,16</t>
  </si>
  <si>
    <t>77.00</t>
  </si>
  <si>
    <t>Velocity — AnatoQuizUp R1</t>
  </si>
  <si>
    <t>PP (Pontos Planejados)</t>
  </si>
  <si>
    <t>PC (Pontos Concluídos)</t>
  </si>
  <si>
    <t>Velocity</t>
  </si>
  <si>
    <t>Velocity Média</t>
  </si>
  <si>
    <t>Registro de Custo Real (CR) por Membro — R1</t>
  </si>
  <si>
    <t>Membro</t>
  </si>
  <si>
    <t>Horas (R1)</t>
  </si>
  <si>
    <t>Custo R1 (R$)</t>
  </si>
  <si>
    <t>Obs.</t>
  </si>
  <si>
    <t>Arthur Carneiro Trindade</t>
  </si>
  <si>
    <t>Miguel Moreira de Oliveira</t>
  </si>
  <si>
    <t>Breno Soares Fernandes</t>
  </si>
  <si>
    <t>Ana Catarina Lopes e Vasconcelos</t>
  </si>
  <si>
    <t>Victor Hugo Rodrigues Guimarães</t>
  </si>
  <si>
    <t>Pedro Cabeceira de Freitas</t>
  </si>
  <si>
    <t>Kathlyn Lara Murussi</t>
  </si>
  <si>
    <t>⚠ Sem registro</t>
  </si>
  <si>
    <t>Maria Luisa Alves Rodrigues</t>
  </si>
  <si>
    <t>Caio Brandão Santos</t>
  </si>
  <si>
    <t>João Vitor Lopes Ribeiro</t>
  </si>
  <si>
    <t>Genilson Silva de Araújo Júnior</t>
  </si>
  <si>
    <t>Bruno Ricardo de Menezes</t>
  </si>
  <si>
    <t>TOTAL</t>
  </si>
  <si>
    <t>repository</t>
  </si>
  <si>
    <t>datetime</t>
  </si>
  <si>
    <t>version</t>
  </si>
  <si>
    <t>ncloc</t>
  </si>
  <si>
    <t>complexity</t>
  </si>
  <si>
    <t>comments</t>
  </si>
  <si>
    <t>duplication</t>
  </si>
  <si>
    <t>test_success</t>
  </si>
  <si>
    <t>fast_tests</t>
  </si>
  <si>
    <t>coverage</t>
  </si>
  <si>
    <t>code_quality</t>
  </si>
  <si>
    <t>testing_status</t>
  </si>
  <si>
    <t>Maintainability</t>
  </si>
  <si>
    <t>Reliability</t>
  </si>
  <si>
    <t>total</t>
  </si>
  <si>
    <t>API</t>
  </si>
  <si>
    <t>04-01-2026-00-00-00</t>
  </si>
  <si>
    <t>v0.0.0</t>
  </si>
  <si>
    <t>04-10-2026-00-00-00</t>
  </si>
  <si>
    <t>04-27-2026-02-33-15</t>
  </si>
  <si>
    <t>v1.0.0</t>
  </si>
  <si>
    <t>WEB</t>
  </si>
  <si>
    <t>04-01-2026-04-01-00</t>
  </si>
  <si>
    <t>04-27-2026-02-16-43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</si>
</sst>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R$ &quot;#,##0.00"/>
    <numFmt numFmtId="166" formatCode="0.0000"/>
    <numFmt numFmtId="167" formatCode="yyyy-mm-dd"/>
    <numFmt numFmtId="168" formatCode="d,m,yyyy"/>
  </numFmts>
  <fonts count="23">
    <font>
      <sz val="10.0"/>
      <color rgb="FF000000"/>
      <name val="Arial"/>
      <scheme val="minor"/>
    </font>
    <font>
      <b/>
      <sz val="14.0"/>
      <color rgb="FF1F4E79"/>
      <name val="Arial"/>
    </font>
    <font>
      <sz val="10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1F4E79"/>
      <name val="Arial"/>
    </font>
    <font>
      <b/>
      <sz val="10.0"/>
      <color theme="1"/>
      <name val="Arial"/>
    </font>
    <font>
      <sz val="10.0"/>
      <color rgb="FF0070C0"/>
      <name val="Arial"/>
    </font>
    <font>
      <sz val="9.0"/>
      <color theme="1"/>
      <name val="Arial"/>
    </font>
    <font>
      <b/>
      <sz val="15.0"/>
      <color rgb="FF1F3A5F"/>
      <name val="Arial"/>
    </font>
    <font>
      <sz val="11.0"/>
      <color theme="1"/>
      <name val="Calibri"/>
    </font>
    <font>
      <i/>
      <color rgb="FF4A4A4A"/>
      <name val="Arial"/>
    </font>
    <font>
      <b/>
      <sz val="11.0"/>
      <color theme="1"/>
      <name val="Roboto"/>
    </font>
    <font>
      <sz val="11.0"/>
      <color rgb="FF434343"/>
      <name val="Roboto"/>
    </font>
    <font>
      <b/>
      <sz val="12.0"/>
      <color rgb="FF1F3A5F"/>
      <name val="Arial"/>
    </font>
    <font>
      <sz val="11.0"/>
      <color theme="1"/>
      <name val="Arial"/>
    </font>
    <font>
      <color theme="1"/>
      <name val="Arial"/>
    </font>
    <font>
      <b/>
      <sz val="12.0"/>
      <color rgb="FF1F4E79"/>
      <name val="Arial"/>
    </font>
    <font>
      <sz val="10.0"/>
      <color theme="1"/>
      <name val="Arial"/>
    </font>
    <font>
      <sz val="10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6F8F9"/>
        <bgColor rgb="FFF6F8F9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</fills>
  <borders count="1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DD2"/>
      </left>
      <right style="thin">
        <color rgb="FFFFCDD2"/>
      </right>
      <top style="thin">
        <color rgb="FFFFCDD2"/>
      </top>
      <bottom style="thin">
        <color rgb="FFFFCDD2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9C4"/>
      </left>
      <right style="thin">
        <color rgb="FFFFF9C4"/>
      </right>
      <top style="thin">
        <color rgb="FFFFF9C4"/>
      </top>
      <bottom style="thin">
        <color rgb="FFFFF9C4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1" fillId="3" fontId="5" numFmtId="165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4" fontId="5" numFmtId="165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5" numFmtId="164" xfId="0" applyAlignment="1" applyBorder="1" applyFont="1" applyNumberFormat="1">
      <alignment horizontal="center" shrinkToFit="0" vertical="center" wrapText="1"/>
    </xf>
    <xf borderId="1" fillId="5" fontId="5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1" fillId="7" fontId="8" numFmtId="0" xfId="0" applyAlignment="1" applyBorder="1" applyFill="1" applyFont="1">
      <alignment horizontal="center" shrinkToFit="0" vertical="bottom" wrapText="0"/>
    </xf>
    <xf borderId="1" fillId="7" fontId="8" numFmtId="165" xfId="0" applyAlignment="1" applyBorder="1" applyFont="1" applyNumberFormat="1">
      <alignment horizontal="center"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1" fillId="7" fontId="8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5" numFmtId="10" xfId="0" applyAlignment="1" applyBorder="1" applyFont="1" applyNumberFormat="1">
      <alignment horizontal="center" shrinkToFit="0" vertical="center" wrapText="1"/>
    </xf>
    <xf borderId="1" fillId="3" fontId="8" numFmtId="165" xfId="0" applyAlignment="1" applyBorder="1" applyFont="1" applyNumberFormat="1">
      <alignment horizontal="center" shrinkToFit="0" vertical="center" wrapText="1"/>
    </xf>
    <xf borderId="1" fillId="3" fontId="5" numFmtId="166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center" wrapText="0"/>
    </xf>
    <xf borderId="2" fillId="8" fontId="14" numFmtId="0" xfId="0" applyAlignment="1" applyBorder="1" applyFill="1" applyFont="1">
      <alignment shrinkToFit="0" vertical="center" wrapText="0"/>
    </xf>
    <xf borderId="3" fillId="8" fontId="14" numFmtId="0" xfId="0" applyAlignment="1" applyBorder="1" applyFont="1">
      <alignment shrinkToFit="0" vertical="center" wrapText="1"/>
    </xf>
    <xf borderId="3" fillId="8" fontId="14" numFmtId="0" xfId="0" applyAlignment="1" applyBorder="1" applyFont="1">
      <alignment shrinkToFit="0" vertical="center" wrapText="0"/>
    </xf>
    <xf borderId="3" fillId="8" fontId="14" numFmtId="0" xfId="0" applyAlignment="1" applyBorder="1" applyFont="1">
      <alignment horizontal="right" shrinkToFit="0" vertical="center" wrapText="0"/>
    </xf>
    <xf borderId="4" fillId="9" fontId="14" numFmtId="0" xfId="0" applyAlignment="1" applyBorder="1" applyFill="1" applyFont="1">
      <alignment horizontal="right" shrinkToFit="0" vertical="center" wrapText="0"/>
    </xf>
    <xf borderId="5" fillId="8" fontId="14" numFmtId="0" xfId="0" applyAlignment="1" applyBorder="1" applyFont="1">
      <alignment shrinkToFit="0" vertical="center" wrapText="1"/>
    </xf>
    <xf borderId="6" fillId="10" fontId="14" numFmtId="0" xfId="0" applyAlignment="1" applyBorder="1" applyFill="1" applyFont="1">
      <alignment shrinkToFit="0" vertical="center" wrapText="0"/>
    </xf>
    <xf borderId="7" fillId="10" fontId="14" numFmtId="0" xfId="0" applyAlignment="1" applyBorder="1" applyFont="1">
      <alignment shrinkToFit="0" vertical="center" wrapText="1"/>
    </xf>
    <xf borderId="7" fillId="10" fontId="14" numFmtId="0" xfId="0" applyAlignment="1" applyBorder="1" applyFont="1">
      <alignment shrinkToFit="0" vertical="center" wrapText="0"/>
    </xf>
    <xf borderId="7" fillId="10" fontId="14" numFmtId="0" xfId="0" applyAlignment="1" applyBorder="1" applyFont="1">
      <alignment horizontal="right" shrinkToFit="0" vertical="center" wrapText="0"/>
    </xf>
    <xf borderId="8" fillId="11" fontId="14" numFmtId="0" xfId="0" applyAlignment="1" applyBorder="1" applyFill="1" applyFont="1">
      <alignment horizontal="right" shrinkToFit="0" vertical="center" wrapText="0"/>
    </xf>
    <xf borderId="9" fillId="10" fontId="14" numFmtId="0" xfId="0" applyAlignment="1" applyBorder="1" applyFont="1">
      <alignment shrinkToFit="0" vertical="center" wrapText="1"/>
    </xf>
    <xf borderId="10" fillId="12" fontId="14" numFmtId="0" xfId="0" applyAlignment="1" applyBorder="1" applyFill="1" applyFont="1">
      <alignment horizontal="right" shrinkToFit="0" vertical="center" wrapText="0"/>
    </xf>
    <xf borderId="3" fillId="8" fontId="11" numFmtId="0" xfId="0" applyAlignment="1" applyBorder="1" applyFont="1">
      <alignment shrinkToFit="0" vertical="center" wrapText="0"/>
    </xf>
    <xf borderId="3" fillId="8" fontId="11" numFmtId="0" xfId="0" applyAlignment="1" applyBorder="1" applyFont="1">
      <alignment shrinkToFit="0" vertical="center" wrapText="0"/>
    </xf>
    <xf borderId="3" fillId="8" fontId="11" numFmtId="0" xfId="0" applyAlignment="1" applyBorder="1" applyFont="1">
      <alignment shrinkToFit="0" vertical="center" wrapText="0"/>
    </xf>
    <xf borderId="5" fillId="8" fontId="11" numFmtId="0" xfId="0" applyAlignment="1" applyBorder="1" applyFont="1">
      <alignment shrinkToFit="0" vertical="center" wrapText="0"/>
    </xf>
    <xf borderId="7" fillId="10" fontId="11" numFmtId="0" xfId="0" applyAlignment="1" applyBorder="1" applyFont="1">
      <alignment shrinkToFit="0" vertical="center" wrapText="0"/>
    </xf>
    <xf borderId="7" fillId="10" fontId="11" numFmtId="0" xfId="0" applyAlignment="1" applyBorder="1" applyFont="1">
      <alignment shrinkToFit="0" vertical="center" wrapText="0"/>
    </xf>
    <xf borderId="7" fillId="10" fontId="11" numFmtId="0" xfId="0" applyAlignment="1" applyBorder="1" applyFont="1">
      <alignment shrinkToFit="0" vertical="center" wrapText="0"/>
    </xf>
    <xf borderId="9" fillId="10" fontId="11" numFmtId="0" xfId="0" applyAlignment="1" applyBorder="1" applyFont="1">
      <alignment shrinkToFit="0" vertical="center" wrapText="0"/>
    </xf>
    <xf borderId="11" fillId="10" fontId="14" numFmtId="0" xfId="0" applyAlignment="1" applyBorder="1" applyFont="1">
      <alignment shrinkToFit="0" vertical="center" wrapText="0"/>
    </xf>
    <xf borderId="12" fillId="10" fontId="11" numFmtId="0" xfId="0" applyAlignment="1" applyBorder="1" applyFont="1">
      <alignment shrinkToFit="0" vertical="center" wrapText="0"/>
    </xf>
    <xf borderId="12" fillId="10" fontId="11" numFmtId="0" xfId="0" applyAlignment="1" applyBorder="1" applyFont="1">
      <alignment shrinkToFit="0" vertical="center" wrapText="0"/>
    </xf>
    <xf borderId="12" fillId="10" fontId="11" numFmtId="0" xfId="0" applyAlignment="1" applyBorder="1" applyFont="1">
      <alignment shrinkToFit="0" vertical="center" wrapText="0"/>
    </xf>
    <xf borderId="13" fillId="10" fontId="11" numFmtId="0" xfId="0" applyAlignment="1" applyBorder="1" applyFont="1">
      <alignment shrinkToFit="0" vertical="center" wrapText="0"/>
    </xf>
    <xf borderId="0" fillId="0" fontId="15" numFmtId="0" xfId="0" applyAlignment="1" applyFont="1">
      <alignment vertical="bottom"/>
    </xf>
    <xf borderId="14" fillId="11" fontId="16" numFmtId="0" xfId="0" applyAlignment="1" applyBorder="1" applyFont="1">
      <alignment vertical="bottom"/>
    </xf>
    <xf borderId="14" fillId="12" fontId="16" numFmtId="0" xfId="0" applyAlignment="1" applyBorder="1" applyFont="1">
      <alignment vertical="bottom"/>
    </xf>
    <xf borderId="14" fillId="9" fontId="16" numFmtId="0" xfId="0" applyAlignment="1" applyBorder="1" applyFont="1">
      <alignment vertical="bottom"/>
    </xf>
    <xf borderId="0" fillId="13" fontId="17" numFmtId="167" xfId="0" applyAlignment="1" applyFill="1" applyFont="1" applyNumberFormat="1">
      <alignment horizontal="right" vertical="bottom"/>
    </xf>
    <xf borderId="0" fillId="13" fontId="17" numFmtId="0" xfId="0" applyAlignment="1" applyFont="1">
      <alignment horizontal="right" vertical="bottom"/>
    </xf>
    <xf borderId="0" fillId="13" fontId="17" numFmtId="0" xfId="0" applyAlignment="1" applyFont="1">
      <alignment vertical="bottom"/>
    </xf>
    <xf borderId="0" fillId="13" fontId="17" numFmtId="168" xfId="0" applyAlignment="1" applyFont="1" applyNumberFormat="1">
      <alignment horizontal="right" vertical="bottom"/>
    </xf>
    <xf borderId="0" fillId="0" fontId="18" numFmtId="0" xfId="0" applyAlignment="1" applyFont="1">
      <alignment shrinkToFit="0" vertical="bottom" wrapText="0"/>
    </xf>
    <xf borderId="1" fillId="13" fontId="5" numFmtId="0" xfId="0" applyAlignment="1" applyBorder="1" applyFont="1">
      <alignment horizontal="center" readingOrder="0" shrinkToFit="0" vertical="center" wrapText="1"/>
    </xf>
    <xf borderId="1" fillId="13" fontId="5" numFmtId="0" xfId="0" applyAlignment="1" applyBorder="1" applyFont="1">
      <alignment horizontal="center" shrinkToFit="0" vertical="center" wrapText="1"/>
    </xf>
    <xf borderId="1" fillId="13" fontId="5" numFmtId="2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5" numFmtId="2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bottom"/>
    </xf>
    <xf borderId="0" fillId="0" fontId="17" numFmtId="167" xfId="0" applyAlignment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1" fillId="13" fontId="19" numFmtId="0" xfId="0" applyAlignment="1" applyBorder="1" applyFont="1">
      <alignment shrinkToFit="0" vertical="center" wrapText="0"/>
    </xf>
    <xf borderId="1" fillId="13" fontId="8" numFmtId="0" xfId="0" applyAlignment="1" applyBorder="1" applyFont="1">
      <alignment horizontal="center" shrinkToFit="0" vertical="center" wrapText="1"/>
    </xf>
    <xf borderId="1" fillId="13" fontId="5" numFmtId="165" xfId="0" applyAlignment="1" applyBorder="1" applyFont="1" applyNumberFormat="1">
      <alignment horizontal="center" shrinkToFit="0" vertical="center" wrapText="1"/>
    </xf>
    <xf borderId="1" fillId="3" fontId="19" numFmtId="0" xfId="0" applyAlignment="1" applyBorder="1" applyFont="1">
      <alignment shrinkToFit="0" vertical="center" wrapText="0"/>
    </xf>
    <xf borderId="1" fillId="13" fontId="20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1" fillId="2" fontId="3" numFmtId="165" xfId="0" applyAlignment="1" applyBorder="1" applyFont="1" applyNumberFormat="1">
      <alignment horizontal="center" shrinkToFit="0" vertical="center" wrapText="0"/>
    </xf>
    <xf borderId="15" fillId="0" fontId="21" numFmtId="0" xfId="0" applyAlignment="1" applyBorder="1" applyFont="1">
      <alignment horizontal="center" vertical="top"/>
    </xf>
    <xf borderId="15" fillId="0" fontId="22" numFmtId="0" xfId="0" applyAlignment="1" applyBorder="1" applyFont="1">
      <alignment horizontal="center" readingOrder="0"/>
    </xf>
    <xf borderId="15" fillId="0" fontId="2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4" pivot="0" name="Matriz de Risc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'Indices e Burndown'!$C$1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'Indices e Burndown'!$A$2:$A$8</c:f>
            </c:strRef>
          </c:cat>
          <c:val>
            <c:numRef>
              <c:f>'Indices e Burndown'!$C$2:$C$8</c:f>
              <c:numCache/>
            </c:numRef>
          </c:val>
        </c:ser>
        <c:axId val="941599876"/>
        <c:axId val="451771146"/>
      </c:barChart>
      <c:lineChart>
        <c:ser>
          <c:idx val="1"/>
          <c:order val="1"/>
          <c:tx>
            <c:strRef>
              <c:f>'Indices e Burndown'!$D$1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'Indices e Burndown'!$A$2:$A$8</c:f>
            </c:strRef>
          </c:cat>
          <c:val>
            <c:numRef>
              <c:f>'Indices e Burndown'!$D$2:$D$8</c:f>
              <c:numCache/>
            </c:numRef>
          </c:val>
          <c:smooth val="0"/>
        </c:ser>
        <c:ser>
          <c:idx val="2"/>
          <c:order val="2"/>
          <c:tx>
            <c:strRef>
              <c:f>'Indices e Burndown'!$B$1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'Indices e Burndown'!$A$2:$A$8</c:f>
            </c:strRef>
          </c:cat>
          <c:val>
            <c:numRef>
              <c:f>'Indices e Burndown'!$B$2:$B$8</c:f>
              <c:numCache/>
            </c:numRef>
          </c:val>
          <c:smooth val="0"/>
        </c:ser>
        <c:axId val="941599876"/>
        <c:axId val="451771146"/>
      </c:lineChart>
      <c:catAx>
        <c:axId val="94159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771146"/>
      </c:catAx>
      <c:valAx>
        <c:axId val="451771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599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Velocity!$B$2:$E$2</c:f>
            </c:strRef>
          </c:cat>
          <c:val>
            <c:numRef>
              <c:f>Velocity!$B$3:$E$3</c:f>
              <c:numCache/>
            </c:numRef>
          </c:val>
        </c:ser>
        <c:axId val="1931536455"/>
        <c:axId val="1984947417"/>
      </c:barChart>
      <c:catAx>
        <c:axId val="1931536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947417"/>
      </c:catAx>
      <c:valAx>
        <c:axId val="1984947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536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WEB - Frontend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Sonar!$E$6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Sonar!$C$7:$C$9</c:f>
            </c:strRef>
          </c:cat>
          <c:val>
            <c:numRef>
              <c:f>Sonar!$E$7:$E$9</c:f>
              <c:numCache/>
            </c:numRef>
          </c:val>
        </c:ser>
        <c:ser>
          <c:idx val="1"/>
          <c:order val="1"/>
          <c:tx>
            <c:strRef>
              <c:f>Sonar!$J$6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Sonar!$C$7:$C$9</c:f>
            </c:strRef>
          </c:cat>
          <c:val>
            <c:numRef>
              <c:f>Sonar!$J$7:$J$9</c:f>
              <c:numCache/>
            </c:numRef>
          </c:val>
        </c:ser>
        <c:ser>
          <c:idx val="2"/>
          <c:order val="2"/>
          <c:tx>
            <c:strRef>
              <c:f>Sonar!$K$6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Sonar!$C$7:$C$9</c:f>
            </c:strRef>
          </c:cat>
          <c:val>
            <c:numRef>
              <c:f>Sonar!$K$7:$K$9</c:f>
              <c:numCache/>
            </c:numRef>
          </c:val>
        </c:ser>
        <c:ser>
          <c:idx val="3"/>
          <c:order val="3"/>
          <c:tx>
            <c:strRef>
              <c:f>Sonar!$L$6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Sonar!$C$7:$C$9</c:f>
            </c:strRef>
          </c:cat>
          <c:val>
            <c:numRef>
              <c:f>Sonar!$L$7:$L$9</c:f>
              <c:numCache/>
            </c:numRef>
          </c:val>
        </c:ser>
        <c:ser>
          <c:idx val="4"/>
          <c:order val="4"/>
          <c:tx>
            <c:strRef>
              <c:f>Sonar!$M$6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Sonar!$C$7:$C$9</c:f>
            </c:strRef>
          </c:cat>
          <c:val>
            <c:numRef>
              <c:f>Sonar!$M$7:$M$9</c:f>
              <c:numCache/>
            </c:numRef>
          </c:val>
        </c:ser>
        <c:ser>
          <c:idx val="5"/>
          <c:order val="5"/>
          <c:tx>
            <c:strRef>
              <c:f>Sonar!$M$6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Sonar!$C$7:$C$9</c:f>
            </c:strRef>
          </c:cat>
          <c:val>
            <c:numRef>
              <c:f>Sonar!$M$7:$M$9</c:f>
              <c:numCache/>
            </c:numRef>
          </c:val>
        </c:ser>
        <c:axId val="801389812"/>
        <c:axId val="325352024"/>
      </c:areaChart>
      <c:catAx>
        <c:axId val="80138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352024"/>
      </c:catAx>
      <c:valAx>
        <c:axId val="325352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389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0</xdr:row>
      <xdr:rowOff>95250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10</xdr:row>
      <xdr:rowOff>66675</xdr:rowOff>
    </xdr:from>
    <xdr:ext cx="5715000" cy="3533775"/>
    <xdr:pic>
      <xdr:nvPicPr>
        <xdr:cNvPr id="1863418533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10</xdr:row>
      <xdr:rowOff>66675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28" displayName="Table1" name="Table1" id="1">
  <tableColumns count="8">
    <tableColumn name="#" id="1"/>
    <tableColumn name="Risco" id="2"/>
    <tableColumn name="Categoria" id="3"/>
    <tableColumn name="Prob" id="4"/>
    <tableColumn name="Imp" id="5"/>
    <tableColumn name="Score" id="6"/>
    <tableColumn name="Estratégia" id="7"/>
    <tableColumn name="Plano de Resposta" id="8"/>
  </tableColumns>
  <tableStyleInfo name="Matriz de Ris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2.0"/>
    <col customWidth="1" min="3" max="5" width="18.0"/>
    <col customWidth="1" min="6" max="6" width="12.63"/>
  </cols>
  <sheetData>
    <row r="1" ht="24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5.75" customHeight="1">
      <c r="A5" s="4" t="s">
        <v>7</v>
      </c>
      <c r="B5" s="5">
        <f>SUM('EVM - Valor agregado'!H2:H4)</f>
        <v>20</v>
      </c>
      <c r="C5" s="6">
        <v>46100.0</v>
      </c>
      <c r="D5" s="6">
        <v>46139.0</v>
      </c>
      <c r="E5" s="7" t="str">
        <f>'EVM - Valor agregado'!R4</f>
        <v/>
      </c>
    </row>
    <row r="6" ht="15.75" customHeight="1">
      <c r="A6" s="8" t="s">
        <v>8</v>
      </c>
      <c r="B6" s="9">
        <f>SUM('EVM - Valor agregado'!H5:H7)</f>
        <v>0</v>
      </c>
      <c r="C6" s="10">
        <v>46140.0</v>
      </c>
      <c r="D6" s="10">
        <v>46167.0</v>
      </c>
      <c r="E6" s="11" t="str">
        <f>'EVM - Valor agregado'!R7</f>
        <v/>
      </c>
    </row>
    <row r="7" ht="15.75" customHeight="1">
      <c r="A7" s="12" t="s">
        <v>9</v>
      </c>
      <c r="B7" s="13">
        <f>SUM('EVM - Valor agregado'!H8:H10)</f>
        <v>0</v>
      </c>
      <c r="C7" s="14">
        <v>46168.0</v>
      </c>
      <c r="D7" s="14">
        <v>46202.0</v>
      </c>
      <c r="E7" s="15" t="str">
        <f>'EVM - Valor agregado'!R10</f>
        <v/>
      </c>
    </row>
    <row r="8" ht="15.75" customHeight="1"/>
    <row r="9" ht="15.75" customHeight="1"/>
    <row r="10" ht="15.75" customHeight="1">
      <c r="A10" s="16" t="s">
        <v>10</v>
      </c>
    </row>
    <row r="11" ht="15.75" customHeight="1">
      <c r="A11" s="17" t="s">
        <v>11</v>
      </c>
      <c r="B11" s="18">
        <v>3.0</v>
      </c>
    </row>
    <row r="12" ht="15.75" customHeight="1">
      <c r="A12" s="17" t="s">
        <v>12</v>
      </c>
      <c r="B12" s="18">
        <f>SUM(B5:B7)</f>
        <v>20</v>
      </c>
    </row>
    <row r="13" ht="15.75" customHeight="1">
      <c r="A13" s="17" t="s">
        <v>13</v>
      </c>
      <c r="B13" s="19">
        <v>52800.0</v>
      </c>
    </row>
    <row r="14" ht="15.75" customHeight="1">
      <c r="A14" s="17" t="s">
        <v>14</v>
      </c>
      <c r="B14" s="19">
        <v>20.0</v>
      </c>
    </row>
    <row r="15" ht="15.75" customHeight="1">
      <c r="A15" s="17" t="s">
        <v>15</v>
      </c>
      <c r="B15" s="18">
        <v>12.0</v>
      </c>
    </row>
    <row r="16" ht="15.75" customHeight="1">
      <c r="A16" s="17" t="s">
        <v>16</v>
      </c>
      <c r="B16" s="18">
        <v>20.0</v>
      </c>
    </row>
    <row r="17" ht="15.75" customHeight="1">
      <c r="A17" s="20" t="s">
        <v>17</v>
      </c>
      <c r="B17" s="21">
        <v>10.0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8.0"/>
    <col customWidth="1" min="4" max="5" width="13.0"/>
    <col customWidth="1" min="6" max="6" width="32.13"/>
    <col customWidth="1" min="7" max="14" width="10.0"/>
    <col customWidth="1" min="15" max="20" width="14.0"/>
    <col customWidth="1" min="21" max="22" width="10.0"/>
    <col customWidth="1" min="23" max="24" width="14.0"/>
  </cols>
  <sheetData>
    <row r="1" ht="45.0" customHeight="1">
      <c r="A1" s="3" t="s">
        <v>18</v>
      </c>
      <c r="B1" s="3" t="s">
        <v>19</v>
      </c>
      <c r="C1" s="3" t="s">
        <v>20</v>
      </c>
      <c r="D1" s="3" t="s">
        <v>4</v>
      </c>
      <c r="E1" s="3" t="s">
        <v>5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</row>
    <row r="2" ht="45.0" customHeight="1">
      <c r="A2" s="22" t="s">
        <v>7</v>
      </c>
      <c r="B2" s="5">
        <f>SUM(G2)</f>
        <v>130</v>
      </c>
      <c r="C2" s="23">
        <v>1.0</v>
      </c>
      <c r="D2" s="6">
        <v>46131.0</v>
      </c>
      <c r="E2" s="6">
        <v>46139.0</v>
      </c>
      <c r="F2" s="24" t="s">
        <v>40</v>
      </c>
      <c r="G2" s="25">
        <v>130.0</v>
      </c>
      <c r="H2" s="25">
        <v>20.0</v>
      </c>
      <c r="I2" s="5">
        <v>0.0</v>
      </c>
      <c r="J2" s="5">
        <f>SUM(G$2:G2)+SUM(I2)</f>
        <v>130</v>
      </c>
      <c r="K2" s="5">
        <f>SUM(H$2:H2)</f>
        <v>20</v>
      </c>
      <c r="L2" s="26">
        <f>IF(J2=0,0,K2/J2)</f>
        <v>0.1538461538</v>
      </c>
      <c r="M2" s="26">
        <f>3/3</f>
        <v>1</v>
      </c>
      <c r="N2" s="7">
        <f>M2*O2</f>
        <v>52800</v>
      </c>
      <c r="O2" s="7">
        <v>52800.0</v>
      </c>
      <c r="P2" s="27">
        <v>1280.0</v>
      </c>
      <c r="Q2" s="7">
        <f>SUM(P$2:P2)</f>
        <v>1280</v>
      </c>
      <c r="R2" s="7">
        <f>IF(O2=0,0,L2/J2*O2)</f>
        <v>62.4852071</v>
      </c>
      <c r="S2" s="7">
        <f>R2-Q2</f>
        <v>-1217.514793</v>
      </c>
      <c r="T2" s="7">
        <f>R2-N2</f>
        <v>-52737.51479</v>
      </c>
      <c r="U2" s="28">
        <f>IF(Q2=0,0,R2/Q2)</f>
        <v>0.04881656805</v>
      </c>
      <c r="V2" s="28">
        <f>IF(N2=0,0,R2/N2)</f>
        <v>0.001183431953</v>
      </c>
      <c r="W2" s="7">
        <f>IF(U2=0,0,(1/U2)*(O2-R2))</f>
        <v>1080320</v>
      </c>
      <c r="X2" s="7">
        <f>Q2+W2</f>
        <v>1081600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7.5"/>
    <col customWidth="1" min="8" max="8" width="132.5"/>
  </cols>
  <sheetData>
    <row r="1" ht="15.0" customHeight="1">
      <c r="A1" s="29" t="s">
        <v>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0" customHeight="1">
      <c r="A2" s="31" t="s">
        <v>42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30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6.25" customHeight="1">
      <c r="A4" s="32" t="s">
        <v>43</v>
      </c>
      <c r="B4" s="32" t="s">
        <v>44</v>
      </c>
      <c r="C4" s="32" t="s">
        <v>45</v>
      </c>
      <c r="D4" s="32" t="s">
        <v>46</v>
      </c>
      <c r="E4" s="32" t="s">
        <v>47</v>
      </c>
      <c r="F4" s="32" t="s">
        <v>48</v>
      </c>
      <c r="G4" s="32" t="s">
        <v>49</v>
      </c>
      <c r="H4" s="32" t="s">
        <v>50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8.75" customHeight="1">
      <c r="A5" s="33" t="s">
        <v>51</v>
      </c>
      <c r="B5" s="34" t="s">
        <v>52</v>
      </c>
      <c r="C5" s="35" t="s">
        <v>53</v>
      </c>
      <c r="D5" s="36">
        <v>2.0</v>
      </c>
      <c r="E5" s="36">
        <v>4.0</v>
      </c>
      <c r="F5" s="37">
        <f t="shared" ref="F5:F22" si="1">D5*E5</f>
        <v>8</v>
      </c>
      <c r="G5" s="35" t="s">
        <v>54</v>
      </c>
      <c r="H5" s="38" t="s">
        <v>55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8.75" customHeight="1">
      <c r="A6" s="39" t="s">
        <v>56</v>
      </c>
      <c r="B6" s="40" t="s">
        <v>57</v>
      </c>
      <c r="C6" s="41" t="s">
        <v>58</v>
      </c>
      <c r="D6" s="42">
        <v>4.0</v>
      </c>
      <c r="E6" s="42">
        <v>4.0</v>
      </c>
      <c r="F6" s="43">
        <f t="shared" si="1"/>
        <v>16</v>
      </c>
      <c r="G6" s="41" t="s">
        <v>54</v>
      </c>
      <c r="H6" s="44" t="s">
        <v>59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8.75" customHeight="1">
      <c r="A7" s="33" t="s">
        <v>60</v>
      </c>
      <c r="B7" s="34" t="s">
        <v>61</v>
      </c>
      <c r="C7" s="35" t="s">
        <v>58</v>
      </c>
      <c r="D7" s="36">
        <v>5.0</v>
      </c>
      <c r="E7" s="36">
        <v>3.0</v>
      </c>
      <c r="F7" s="45">
        <f t="shared" si="1"/>
        <v>15</v>
      </c>
      <c r="G7" s="35" t="s">
        <v>54</v>
      </c>
      <c r="H7" s="38" t="s">
        <v>62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8.75" customHeight="1">
      <c r="A8" s="39" t="s">
        <v>63</v>
      </c>
      <c r="B8" s="40" t="s">
        <v>64</v>
      </c>
      <c r="C8" s="41" t="s">
        <v>65</v>
      </c>
      <c r="D8" s="42">
        <v>2.0</v>
      </c>
      <c r="E8" s="42">
        <v>5.0</v>
      </c>
      <c r="F8" s="45">
        <f t="shared" si="1"/>
        <v>10</v>
      </c>
      <c r="G8" s="41" t="s">
        <v>54</v>
      </c>
      <c r="H8" s="44" t="s">
        <v>66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8.75" customHeight="1">
      <c r="A9" s="33" t="s">
        <v>67</v>
      </c>
      <c r="B9" s="34" t="s">
        <v>68</v>
      </c>
      <c r="C9" s="35" t="s">
        <v>69</v>
      </c>
      <c r="D9" s="36">
        <v>4.0</v>
      </c>
      <c r="E9" s="36">
        <v>4.0</v>
      </c>
      <c r="F9" s="43">
        <f t="shared" si="1"/>
        <v>16</v>
      </c>
      <c r="G9" s="35" t="s">
        <v>54</v>
      </c>
      <c r="H9" s="38" t="s">
        <v>70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8.75" customHeight="1">
      <c r="A10" s="39" t="s">
        <v>71</v>
      </c>
      <c r="B10" s="40" t="s">
        <v>72</v>
      </c>
      <c r="C10" s="41" t="s">
        <v>73</v>
      </c>
      <c r="D10" s="42">
        <v>2.0</v>
      </c>
      <c r="E10" s="42">
        <v>4.0</v>
      </c>
      <c r="F10" s="37">
        <f t="shared" si="1"/>
        <v>8</v>
      </c>
      <c r="G10" s="41" t="s">
        <v>74</v>
      </c>
      <c r="H10" s="44" t="s">
        <v>75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8.75" customHeight="1">
      <c r="A11" s="33" t="s">
        <v>76</v>
      </c>
      <c r="B11" s="34" t="s">
        <v>77</v>
      </c>
      <c r="C11" s="35" t="s">
        <v>78</v>
      </c>
      <c r="D11" s="36">
        <v>3.0</v>
      </c>
      <c r="E11" s="36">
        <v>2.0</v>
      </c>
      <c r="F11" s="37">
        <f t="shared" si="1"/>
        <v>6</v>
      </c>
      <c r="G11" s="35" t="s">
        <v>54</v>
      </c>
      <c r="H11" s="38" t="s">
        <v>79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8.75" customHeight="1">
      <c r="A12" s="39" t="s">
        <v>80</v>
      </c>
      <c r="B12" s="40" t="s">
        <v>81</v>
      </c>
      <c r="C12" s="41" t="s">
        <v>82</v>
      </c>
      <c r="D12" s="42">
        <v>4.0</v>
      </c>
      <c r="E12" s="42">
        <v>3.0</v>
      </c>
      <c r="F12" s="45">
        <f t="shared" si="1"/>
        <v>12</v>
      </c>
      <c r="G12" s="41" t="s">
        <v>54</v>
      </c>
      <c r="H12" s="44" t="s">
        <v>83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8.75" customHeight="1">
      <c r="A13" s="33" t="s">
        <v>84</v>
      </c>
      <c r="B13" s="34" t="s">
        <v>85</v>
      </c>
      <c r="C13" s="35" t="s">
        <v>65</v>
      </c>
      <c r="D13" s="36">
        <v>3.0</v>
      </c>
      <c r="E13" s="36">
        <v>3.0</v>
      </c>
      <c r="F13" s="45">
        <f t="shared" si="1"/>
        <v>9</v>
      </c>
      <c r="G13" s="35" t="s">
        <v>54</v>
      </c>
      <c r="H13" s="38" t="s">
        <v>86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8.75" customHeight="1">
      <c r="A14" s="39" t="s">
        <v>87</v>
      </c>
      <c r="B14" s="40" t="s">
        <v>88</v>
      </c>
      <c r="C14" s="41" t="s">
        <v>65</v>
      </c>
      <c r="D14" s="42">
        <v>3.0</v>
      </c>
      <c r="E14" s="42">
        <v>3.0</v>
      </c>
      <c r="F14" s="45">
        <f t="shared" si="1"/>
        <v>9</v>
      </c>
      <c r="G14" s="41" t="s">
        <v>54</v>
      </c>
      <c r="H14" s="44" t="s">
        <v>89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8.75" customHeight="1">
      <c r="A15" s="33" t="s">
        <v>90</v>
      </c>
      <c r="B15" s="34" t="s">
        <v>91</v>
      </c>
      <c r="C15" s="35" t="s">
        <v>82</v>
      </c>
      <c r="D15" s="36">
        <v>3.0</v>
      </c>
      <c r="E15" s="36">
        <v>4.0</v>
      </c>
      <c r="F15" s="45">
        <f t="shared" si="1"/>
        <v>12</v>
      </c>
      <c r="G15" s="35" t="s">
        <v>54</v>
      </c>
      <c r="H15" s="38" t="s">
        <v>92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8.75" customHeight="1">
      <c r="A16" s="39" t="s">
        <v>93</v>
      </c>
      <c r="B16" s="40" t="s">
        <v>94</v>
      </c>
      <c r="C16" s="41" t="s">
        <v>65</v>
      </c>
      <c r="D16" s="42">
        <v>3.0</v>
      </c>
      <c r="E16" s="42">
        <v>3.0</v>
      </c>
      <c r="F16" s="45">
        <f t="shared" si="1"/>
        <v>9</v>
      </c>
      <c r="G16" s="41" t="s">
        <v>54</v>
      </c>
      <c r="H16" s="44" t="s">
        <v>95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8.75" customHeight="1">
      <c r="A17" s="33" t="s">
        <v>96</v>
      </c>
      <c r="B17" s="34" t="s">
        <v>97</v>
      </c>
      <c r="C17" s="35" t="s">
        <v>69</v>
      </c>
      <c r="D17" s="36">
        <v>3.0</v>
      </c>
      <c r="E17" s="36">
        <v>4.0</v>
      </c>
      <c r="F17" s="45">
        <f t="shared" si="1"/>
        <v>12</v>
      </c>
      <c r="G17" s="35" t="s">
        <v>54</v>
      </c>
      <c r="H17" s="38" t="s">
        <v>98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8.75" customHeight="1">
      <c r="A18" s="39" t="s">
        <v>99</v>
      </c>
      <c r="B18" s="40" t="s">
        <v>100</v>
      </c>
      <c r="C18" s="41" t="s">
        <v>101</v>
      </c>
      <c r="D18" s="42">
        <v>2.0</v>
      </c>
      <c r="E18" s="42">
        <v>5.0</v>
      </c>
      <c r="F18" s="45">
        <f t="shared" si="1"/>
        <v>10</v>
      </c>
      <c r="G18" s="41" t="s">
        <v>54</v>
      </c>
      <c r="H18" s="44" t="s">
        <v>102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8.75" customHeight="1">
      <c r="A19" s="33" t="s">
        <v>103</v>
      </c>
      <c r="B19" s="34" t="s">
        <v>104</v>
      </c>
      <c r="C19" s="35" t="s">
        <v>53</v>
      </c>
      <c r="D19" s="36">
        <v>3.0</v>
      </c>
      <c r="E19" s="36">
        <v>4.0</v>
      </c>
      <c r="F19" s="45">
        <f t="shared" si="1"/>
        <v>12</v>
      </c>
      <c r="G19" s="35" t="s">
        <v>54</v>
      </c>
      <c r="H19" s="38" t="s">
        <v>105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8.75" customHeight="1">
      <c r="A20" s="39" t="s">
        <v>106</v>
      </c>
      <c r="B20" s="40" t="s">
        <v>107</v>
      </c>
      <c r="C20" s="41" t="s">
        <v>65</v>
      </c>
      <c r="D20" s="42">
        <v>1.0</v>
      </c>
      <c r="E20" s="42">
        <v>3.0</v>
      </c>
      <c r="F20" s="37">
        <f t="shared" si="1"/>
        <v>3</v>
      </c>
      <c r="G20" s="41" t="s">
        <v>74</v>
      </c>
      <c r="H20" s="44" t="s">
        <v>108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8.75" customHeight="1">
      <c r="A21" s="33" t="s">
        <v>109</v>
      </c>
      <c r="B21" s="34" t="s">
        <v>110</v>
      </c>
      <c r="C21" s="35" t="s">
        <v>82</v>
      </c>
      <c r="D21" s="36">
        <v>2.0</v>
      </c>
      <c r="E21" s="36">
        <v>3.0</v>
      </c>
      <c r="F21" s="37">
        <f t="shared" si="1"/>
        <v>6</v>
      </c>
      <c r="G21" s="35" t="s">
        <v>54</v>
      </c>
      <c r="H21" s="38" t="s">
        <v>111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8.75" customHeight="1">
      <c r="A22" s="39" t="s">
        <v>112</v>
      </c>
      <c r="B22" s="40" t="s">
        <v>113</v>
      </c>
      <c r="C22" s="41" t="s">
        <v>65</v>
      </c>
      <c r="D22" s="42">
        <v>2.0</v>
      </c>
      <c r="E22" s="42">
        <v>3.0</v>
      </c>
      <c r="F22" s="37">
        <f t="shared" si="1"/>
        <v>6</v>
      </c>
      <c r="G22" s="41" t="s">
        <v>54</v>
      </c>
      <c r="H22" s="44" t="s">
        <v>114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8.75" customHeight="1">
      <c r="A23" s="33" t="s">
        <v>115</v>
      </c>
      <c r="B23" s="46"/>
      <c r="C23" s="47"/>
      <c r="D23" s="47"/>
      <c r="E23" s="47"/>
      <c r="F23" s="48"/>
      <c r="G23" s="47"/>
      <c r="H23" s="49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8.75" customHeight="1">
      <c r="A24" s="39" t="s">
        <v>116</v>
      </c>
      <c r="B24" s="50"/>
      <c r="C24" s="51"/>
      <c r="D24" s="51"/>
      <c r="E24" s="51"/>
      <c r="F24" s="52"/>
      <c r="G24" s="51"/>
      <c r="H24" s="53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8.75" customHeight="1">
      <c r="A25" s="33" t="s">
        <v>117</v>
      </c>
      <c r="B25" s="46"/>
      <c r="C25" s="47"/>
      <c r="D25" s="47"/>
      <c r="E25" s="47"/>
      <c r="F25" s="48"/>
      <c r="G25" s="47"/>
      <c r="H25" s="49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8.75" customHeight="1">
      <c r="A26" s="39" t="s">
        <v>118</v>
      </c>
      <c r="B26" s="50"/>
      <c r="C26" s="51"/>
      <c r="D26" s="51"/>
      <c r="E26" s="51"/>
      <c r="F26" s="52"/>
      <c r="G26" s="51"/>
      <c r="H26" s="53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8.75" customHeight="1">
      <c r="A27" s="33" t="s">
        <v>119</v>
      </c>
      <c r="B27" s="46"/>
      <c r="C27" s="47"/>
      <c r="D27" s="47"/>
      <c r="E27" s="47"/>
      <c r="F27" s="48"/>
      <c r="G27" s="47"/>
      <c r="H27" s="49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8.75" customHeight="1">
      <c r="A28" s="54" t="s">
        <v>120</v>
      </c>
      <c r="B28" s="55"/>
      <c r="C28" s="56"/>
      <c r="D28" s="56"/>
      <c r="E28" s="56"/>
      <c r="F28" s="57"/>
      <c r="G28" s="56"/>
      <c r="H28" s="58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0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B31" s="59" t="s">
        <v>121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60" t="s">
        <v>122</v>
      </c>
      <c r="C32" s="30"/>
      <c r="D32" s="30"/>
      <c r="E32" s="30"/>
      <c r="F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61" t="s">
        <v>123</v>
      </c>
      <c r="C33" s="30"/>
      <c r="D33" s="30"/>
      <c r="E33" s="30"/>
      <c r="F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62" t="s">
        <v>124</v>
      </c>
      <c r="C34" s="30"/>
      <c r="D34" s="30"/>
      <c r="E34" s="30"/>
      <c r="F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conditionalFormatting sqref="F5:F28">
    <cfRule type="cellIs" dxfId="5" priority="1" operator="greaterThanOrEqual">
      <formula>16</formula>
    </cfRule>
  </conditionalFormatting>
  <conditionalFormatting sqref="F5:F28">
    <cfRule type="cellIs" dxfId="6" priority="2" operator="between">
      <formula>9</formula>
      <formula>15</formula>
    </cfRule>
  </conditionalFormatting>
  <conditionalFormatting sqref="F5:F28">
    <cfRule type="cellIs" dxfId="7" priority="3" operator="lessThanOrEqual">
      <formula>8</formula>
    </cfRule>
  </conditionalFormatting>
  <dataValidations>
    <dataValidation type="list" allowBlank="1" sqref="D5:E28">
      <formula1>"1,2,3,4,5"</formula1>
    </dataValidation>
    <dataValidation type="list" allowBlank="1" sqref="G5:G28">
      <formula1>"Prevenir,Mitigar,Transferir,Aceitar"</formula1>
    </dataValidation>
    <dataValidation type="custom" allowBlank="1" showDropDown="1" sqref="F5:F28">
      <formula1>AND(ISNUMBER(F5),(NOT(OR(NOT(ISERROR(DATEVALUE(F5))), AND(ISNUMBER(F5), LEFT(CELL("format", F5))="D")))))</formula1>
    </dataValidation>
    <dataValidation type="list" allowBlank="1" sqref="C5:C28">
      <formula1>"Externo,Técnico,Pessoal,Cronograma,Processo,Avaliativo"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.63"/>
    <col customWidth="1" min="3" max="3" width="9.38"/>
    <col customWidth="1" min="4" max="5" width="12.63"/>
    <col customWidth="1" min="6" max="6" width="14.38"/>
  </cols>
  <sheetData>
    <row r="1" ht="15.75" customHeight="1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</row>
    <row r="2" ht="15.75" customHeight="1">
      <c r="A2" s="63">
        <v>46131.0</v>
      </c>
      <c r="B2" s="64">
        <v>77.0</v>
      </c>
      <c r="C2" s="64">
        <v>77.0</v>
      </c>
      <c r="D2" s="64">
        <v>0.0</v>
      </c>
      <c r="E2" s="65" t="s">
        <v>131</v>
      </c>
      <c r="F2" s="65"/>
    </row>
    <row r="3" ht="15.75" customHeight="1">
      <c r="A3" s="63">
        <v>46132.0</v>
      </c>
      <c r="B3" s="64">
        <v>77.0</v>
      </c>
      <c r="C3" s="64">
        <v>77.0</v>
      </c>
      <c r="D3" s="64">
        <v>0.0</v>
      </c>
      <c r="E3" s="65" t="s">
        <v>132</v>
      </c>
      <c r="F3" s="65"/>
    </row>
    <row r="4" ht="15.75" customHeight="1">
      <c r="A4" s="63">
        <v>46133.0</v>
      </c>
      <c r="B4" s="64">
        <v>77.0</v>
      </c>
      <c r="C4" s="64">
        <v>77.0</v>
      </c>
      <c r="D4" s="64">
        <v>0.0</v>
      </c>
      <c r="E4" s="65" t="s">
        <v>133</v>
      </c>
      <c r="F4" s="65"/>
    </row>
    <row r="5" ht="15.75" customHeight="1">
      <c r="A5" s="63">
        <v>46134.0</v>
      </c>
      <c r="B5" s="64">
        <v>77.0</v>
      </c>
      <c r="C5" s="64">
        <v>77.0</v>
      </c>
      <c r="D5" s="64">
        <v>0.0</v>
      </c>
      <c r="E5" s="65" t="s">
        <v>134</v>
      </c>
      <c r="F5" s="65"/>
    </row>
    <row r="6" ht="15.75" customHeight="1">
      <c r="A6" s="63">
        <v>46135.0</v>
      </c>
      <c r="B6" s="64">
        <v>77.0</v>
      </c>
      <c r="C6" s="64">
        <v>70.0</v>
      </c>
      <c r="D6" s="64">
        <v>7.0</v>
      </c>
      <c r="E6" s="65" t="s">
        <v>135</v>
      </c>
      <c r="F6" s="65" t="s">
        <v>136</v>
      </c>
    </row>
    <row r="7" ht="15.75" customHeight="1">
      <c r="A7" s="63">
        <v>46136.0</v>
      </c>
      <c r="B7" s="64">
        <v>77.0</v>
      </c>
      <c r="C7" s="64">
        <v>70.0</v>
      </c>
      <c r="D7" s="64">
        <v>7.0</v>
      </c>
      <c r="E7" s="65" t="s">
        <v>137</v>
      </c>
      <c r="F7" s="65"/>
    </row>
    <row r="8" ht="15.75" customHeight="1">
      <c r="A8" s="63">
        <v>46137.0</v>
      </c>
      <c r="B8" s="64">
        <v>77.0</v>
      </c>
      <c r="C8" s="64">
        <v>64.0</v>
      </c>
      <c r="D8" s="64">
        <v>13.0</v>
      </c>
      <c r="E8" s="65" t="s">
        <v>137</v>
      </c>
      <c r="F8" s="66">
        <v>39937.0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24.0"/>
    <col customWidth="1" min="4" max="4" width="14.0"/>
    <col customWidth="1" min="5" max="5" width="16.0"/>
    <col customWidth="1" min="6" max="6" width="12.63"/>
  </cols>
  <sheetData>
    <row r="1" ht="15.75" customHeight="1">
      <c r="A1" s="67" t="s">
        <v>138</v>
      </c>
    </row>
    <row r="2" ht="40.5" customHeight="1">
      <c r="A2" s="3" t="s">
        <v>20</v>
      </c>
      <c r="B2" s="3" t="s">
        <v>139</v>
      </c>
      <c r="C2" s="3" t="s">
        <v>140</v>
      </c>
      <c r="D2" s="3" t="s">
        <v>141</v>
      </c>
      <c r="E2" s="3" t="s">
        <v>142</v>
      </c>
    </row>
    <row r="3" ht="15.75" customHeight="1">
      <c r="A3" s="68">
        <v>1.0</v>
      </c>
      <c r="B3" s="69">
        <f>'EVM - Valor agregado'!G2</f>
        <v>130</v>
      </c>
      <c r="C3" s="69">
        <f>'EVM - Valor agregado'!H2</f>
        <v>20</v>
      </c>
      <c r="D3" s="69">
        <f>C3</f>
        <v>20</v>
      </c>
      <c r="E3" s="70">
        <f>SUM(D$3:D4)/A3</f>
        <v>20</v>
      </c>
    </row>
    <row r="4" ht="15.75" customHeight="1">
      <c r="A4" s="71"/>
      <c r="B4" s="71"/>
      <c r="C4" s="71"/>
      <c r="D4" s="71"/>
      <c r="E4" s="72"/>
    </row>
    <row r="5" ht="15.75" customHeight="1"/>
    <row r="6" ht="15.75" customHeight="1"/>
    <row r="7" ht="15.75" customHeight="1"/>
    <row r="8" ht="15.75" customHeight="1">
      <c r="A8" s="73"/>
      <c r="B8" s="73"/>
      <c r="C8" s="74"/>
      <c r="D8" s="74"/>
      <c r="E8" s="75"/>
      <c r="F8" s="75"/>
      <c r="G8" s="76"/>
      <c r="H8" s="7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14.0"/>
    <col customWidth="1" min="3" max="3" width="18.0"/>
    <col customWidth="1" min="4" max="4" width="20.0"/>
    <col customWidth="1" min="5" max="6" width="12.63"/>
  </cols>
  <sheetData>
    <row r="1" ht="15.75" customHeight="1">
      <c r="A1" s="67" t="s">
        <v>143</v>
      </c>
    </row>
    <row r="2" ht="15.75" customHeight="1">
      <c r="A2" s="3" t="s">
        <v>144</v>
      </c>
      <c r="B2" s="3" t="s">
        <v>145</v>
      </c>
      <c r="C2" s="3" t="s">
        <v>146</v>
      </c>
      <c r="D2" s="3" t="s">
        <v>147</v>
      </c>
    </row>
    <row r="3" ht="15.75" customHeight="1">
      <c r="A3" s="77" t="s">
        <v>148</v>
      </c>
      <c r="B3" s="78">
        <v>8.0</v>
      </c>
      <c r="C3" s="79">
        <f t="shared" ref="C3:C14" si="1">B3*20</f>
        <v>160</v>
      </c>
      <c r="D3" s="69"/>
    </row>
    <row r="4" ht="15.75" customHeight="1">
      <c r="A4" s="80" t="s">
        <v>149</v>
      </c>
      <c r="B4" s="25">
        <v>9.0</v>
      </c>
      <c r="C4" s="7">
        <f t="shared" si="1"/>
        <v>180</v>
      </c>
      <c r="D4" s="5"/>
    </row>
    <row r="5" ht="15.75" customHeight="1">
      <c r="A5" s="77" t="s">
        <v>150</v>
      </c>
      <c r="B5" s="78">
        <v>5.0</v>
      </c>
      <c r="C5" s="79">
        <f t="shared" si="1"/>
        <v>100</v>
      </c>
      <c r="D5" s="69"/>
    </row>
    <row r="6" ht="15.75" customHeight="1">
      <c r="A6" s="80" t="s">
        <v>151</v>
      </c>
      <c r="B6" s="25">
        <v>4.0</v>
      </c>
      <c r="C6" s="7">
        <f t="shared" si="1"/>
        <v>80</v>
      </c>
      <c r="D6" s="5"/>
    </row>
    <row r="7" ht="15.75" customHeight="1">
      <c r="A7" s="77" t="s">
        <v>152</v>
      </c>
      <c r="B7" s="78">
        <v>3.0</v>
      </c>
      <c r="C7" s="79">
        <f t="shared" si="1"/>
        <v>60</v>
      </c>
      <c r="D7" s="69"/>
    </row>
    <row r="8" ht="15.75" customHeight="1">
      <c r="A8" s="80" t="s">
        <v>153</v>
      </c>
      <c r="B8" s="25">
        <v>6.0</v>
      </c>
      <c r="C8" s="7">
        <f t="shared" si="1"/>
        <v>120</v>
      </c>
      <c r="D8" s="5"/>
    </row>
    <row r="9" ht="15.75" customHeight="1">
      <c r="A9" s="77" t="s">
        <v>154</v>
      </c>
      <c r="B9" s="81">
        <v>0.0</v>
      </c>
      <c r="C9" s="79">
        <f t="shared" si="1"/>
        <v>0</v>
      </c>
      <c r="D9" s="81" t="s">
        <v>155</v>
      </c>
    </row>
    <row r="10" ht="15.75" customHeight="1">
      <c r="A10" s="80" t="s">
        <v>156</v>
      </c>
      <c r="B10" s="25">
        <v>6.5</v>
      </c>
      <c r="C10" s="7">
        <f t="shared" si="1"/>
        <v>130</v>
      </c>
      <c r="D10" s="5"/>
    </row>
    <row r="11" ht="15.75" customHeight="1">
      <c r="A11" s="77" t="s">
        <v>157</v>
      </c>
      <c r="B11" s="81">
        <v>0.0</v>
      </c>
      <c r="C11" s="79">
        <f t="shared" si="1"/>
        <v>0</v>
      </c>
      <c r="D11" s="81" t="s">
        <v>155</v>
      </c>
    </row>
    <row r="12" ht="15.75" customHeight="1">
      <c r="A12" s="80" t="s">
        <v>158</v>
      </c>
      <c r="B12" s="25">
        <v>7.0</v>
      </c>
      <c r="C12" s="7">
        <f t="shared" si="1"/>
        <v>140</v>
      </c>
      <c r="D12" s="5"/>
    </row>
    <row r="13" ht="15.75" customHeight="1">
      <c r="A13" s="77" t="s">
        <v>159</v>
      </c>
      <c r="B13" s="81">
        <v>0.0</v>
      </c>
      <c r="C13" s="79">
        <f t="shared" si="1"/>
        <v>0</v>
      </c>
      <c r="D13" s="81" t="s">
        <v>155</v>
      </c>
    </row>
    <row r="14" ht="15.75" customHeight="1">
      <c r="A14" s="80" t="s">
        <v>160</v>
      </c>
      <c r="B14" s="25">
        <v>16.0</v>
      </c>
      <c r="C14" s="7">
        <f t="shared" si="1"/>
        <v>320</v>
      </c>
      <c r="D14" s="5"/>
    </row>
    <row r="15" ht="15.75" customHeight="1">
      <c r="A15" s="82" t="s">
        <v>161</v>
      </c>
      <c r="B15" s="82">
        <f t="shared" ref="B15:C15" si="2">SUM(B3:B14)</f>
        <v>64.5</v>
      </c>
      <c r="C15" s="83">
        <f t="shared" si="2"/>
        <v>1290</v>
      </c>
      <c r="D15" s="8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75"/>
    <col customWidth="1" min="3" max="3" width="7.63"/>
    <col customWidth="1" min="4" max="4" width="5.38"/>
    <col customWidth="1" min="5" max="5" width="11.63"/>
    <col customWidth="1" min="6" max="6" width="9.38"/>
    <col customWidth="1" min="7" max="7" width="9.88"/>
    <col customWidth="1" min="8" max="8" width="11.5"/>
    <col customWidth="1" min="9" max="9" width="8.75"/>
    <col customWidth="1" min="10" max="10" width="8.38"/>
    <col customWidth="1" min="11" max="11" width="11.63"/>
    <col customWidth="1" min="12" max="12" width="12.25"/>
    <col customWidth="1" min="13" max="13" width="12.63"/>
    <col customWidth="1" min="14" max="14" width="8.88"/>
    <col customWidth="1" min="15" max="15" width="11.63"/>
    <col customWidth="1" min="16" max="26" width="7.63"/>
  </cols>
  <sheetData>
    <row r="1">
      <c r="A1" s="84" t="s">
        <v>162</v>
      </c>
      <c r="B1" s="84" t="s">
        <v>163</v>
      </c>
      <c r="C1" s="84" t="s">
        <v>164</v>
      </c>
      <c r="D1" s="84" t="s">
        <v>165</v>
      </c>
      <c r="E1" s="84" t="s">
        <v>166</v>
      </c>
      <c r="F1" s="84" t="s">
        <v>167</v>
      </c>
      <c r="G1" s="84" t="s">
        <v>168</v>
      </c>
      <c r="H1" s="84" t="s">
        <v>169</v>
      </c>
      <c r="I1" s="84" t="s">
        <v>170</v>
      </c>
      <c r="J1" s="84" t="s">
        <v>171</v>
      </c>
      <c r="K1" s="84" t="s">
        <v>172</v>
      </c>
      <c r="L1" s="84" t="s">
        <v>173</v>
      </c>
      <c r="M1" s="84" t="s">
        <v>174</v>
      </c>
      <c r="N1" s="84" t="s">
        <v>175</v>
      </c>
      <c r="O1" s="84" t="s">
        <v>176</v>
      </c>
    </row>
    <row r="2">
      <c r="A2" s="85" t="s">
        <v>177</v>
      </c>
      <c r="B2" s="86" t="s">
        <v>178</v>
      </c>
      <c r="C2" s="86" t="s">
        <v>179</v>
      </c>
      <c r="D2" s="86">
        <v>0.0</v>
      </c>
      <c r="E2" s="86">
        <v>0.0</v>
      </c>
      <c r="F2" s="86">
        <v>0.0</v>
      </c>
      <c r="G2" s="86">
        <v>1.0</v>
      </c>
      <c r="H2" s="86">
        <v>0.0</v>
      </c>
      <c r="I2" s="86">
        <v>0.0</v>
      </c>
      <c r="J2" s="86">
        <v>0.0</v>
      </c>
      <c r="K2" s="86">
        <v>0.33</v>
      </c>
      <c r="L2" s="86">
        <v>0.0</v>
      </c>
      <c r="M2" s="86">
        <v>0.165</v>
      </c>
      <c r="N2" s="86">
        <v>0.0</v>
      </c>
      <c r="O2" s="86">
        <v>0.165</v>
      </c>
    </row>
    <row r="3">
      <c r="A3" s="85" t="s">
        <v>177</v>
      </c>
      <c r="B3" s="86" t="s">
        <v>180</v>
      </c>
      <c r="C3" s="86" t="s">
        <v>179</v>
      </c>
      <c r="D3" s="86">
        <v>0.0</v>
      </c>
      <c r="E3" s="86">
        <v>0.0</v>
      </c>
      <c r="F3" s="86">
        <v>0.0</v>
      </c>
      <c r="G3" s="86">
        <v>1.0</v>
      </c>
      <c r="H3" s="86">
        <v>0.0</v>
      </c>
      <c r="I3" s="86">
        <v>0.0</v>
      </c>
      <c r="J3" s="86">
        <v>0.0</v>
      </c>
      <c r="K3" s="86">
        <v>0.33</v>
      </c>
      <c r="L3" s="86">
        <v>0.0</v>
      </c>
      <c r="M3" s="86">
        <v>0.165</v>
      </c>
      <c r="N3" s="86">
        <v>0.0</v>
      </c>
      <c r="O3" s="86">
        <v>0.165</v>
      </c>
    </row>
    <row r="4">
      <c r="A4" s="85" t="s">
        <v>177</v>
      </c>
      <c r="B4" s="86" t="s">
        <v>181</v>
      </c>
      <c r="C4" s="86" t="s">
        <v>182</v>
      </c>
      <c r="D4" s="86">
        <v>3082.0</v>
      </c>
      <c r="E4" s="86">
        <v>0.8158227848101266</v>
      </c>
      <c r="F4" s="86">
        <v>0.0</v>
      </c>
      <c r="G4" s="86">
        <v>1.0</v>
      </c>
      <c r="H4" s="86">
        <v>0.0</v>
      </c>
      <c r="I4" s="86">
        <v>0.0</v>
      </c>
      <c r="J4" s="86">
        <v>0.963</v>
      </c>
      <c r="K4" s="86">
        <v>0.5992215189873418</v>
      </c>
      <c r="L4" s="86">
        <v>0.4815</v>
      </c>
      <c r="M4" s="86">
        <v>0.2996107594936709</v>
      </c>
      <c r="N4" s="86">
        <v>0.24075</v>
      </c>
      <c r="O4" s="86">
        <v>0.5403607594936709</v>
      </c>
    </row>
    <row r="6">
      <c r="A6" s="84" t="s">
        <v>162</v>
      </c>
      <c r="B6" s="84" t="s">
        <v>163</v>
      </c>
      <c r="C6" s="84" t="s">
        <v>164</v>
      </c>
      <c r="D6" s="84" t="s">
        <v>165</v>
      </c>
      <c r="E6" s="84" t="s">
        <v>166</v>
      </c>
      <c r="F6" s="84" t="s">
        <v>167</v>
      </c>
      <c r="G6" s="84" t="s">
        <v>168</v>
      </c>
      <c r="H6" s="84" t="s">
        <v>169</v>
      </c>
      <c r="I6" s="84" t="s">
        <v>170</v>
      </c>
      <c r="J6" s="84" t="s">
        <v>171</v>
      </c>
      <c r="K6" s="84" t="s">
        <v>172</v>
      </c>
      <c r="L6" s="84" t="s">
        <v>173</v>
      </c>
      <c r="M6" s="84" t="s">
        <v>174</v>
      </c>
      <c r="N6" s="84" t="s">
        <v>175</v>
      </c>
      <c r="O6" s="84" t="s">
        <v>176</v>
      </c>
    </row>
    <row r="7">
      <c r="A7" s="85" t="s">
        <v>183</v>
      </c>
      <c r="B7" s="86" t="s">
        <v>184</v>
      </c>
      <c r="C7" s="86" t="s">
        <v>179</v>
      </c>
      <c r="D7" s="86">
        <v>0.0</v>
      </c>
      <c r="E7" s="86">
        <v>0.0</v>
      </c>
      <c r="F7" s="86">
        <v>0.0</v>
      </c>
      <c r="G7" s="86">
        <v>1.0</v>
      </c>
      <c r="H7" s="86">
        <v>0.0</v>
      </c>
      <c r="I7" s="86">
        <v>0.0</v>
      </c>
      <c r="J7" s="86">
        <v>0.0</v>
      </c>
      <c r="K7" s="86">
        <v>0.33</v>
      </c>
      <c r="L7" s="86">
        <v>0.0</v>
      </c>
      <c r="M7" s="86">
        <v>0.165</v>
      </c>
      <c r="N7" s="86">
        <v>0.0</v>
      </c>
      <c r="O7" s="86">
        <v>0.165</v>
      </c>
    </row>
    <row r="8">
      <c r="A8" s="85" t="s">
        <v>183</v>
      </c>
      <c r="B8" s="86" t="s">
        <v>180</v>
      </c>
      <c r="C8" s="86" t="s">
        <v>179</v>
      </c>
      <c r="D8" s="86">
        <v>0.0</v>
      </c>
      <c r="E8" s="86">
        <v>0.0</v>
      </c>
      <c r="F8" s="86">
        <v>0.0</v>
      </c>
      <c r="G8" s="86">
        <v>1.0</v>
      </c>
      <c r="H8" s="86">
        <v>0.0</v>
      </c>
      <c r="I8" s="86">
        <v>0.0</v>
      </c>
      <c r="J8" s="86">
        <v>0.0</v>
      </c>
      <c r="K8" s="86">
        <v>0.33</v>
      </c>
      <c r="L8" s="86">
        <v>0.0</v>
      </c>
      <c r="M8" s="86">
        <v>0.165</v>
      </c>
      <c r="N8" s="86">
        <v>0.0</v>
      </c>
      <c r="O8" s="86">
        <v>0.165</v>
      </c>
    </row>
    <row r="9">
      <c r="A9" s="85" t="s">
        <v>183</v>
      </c>
      <c r="B9" s="86" t="s">
        <v>185</v>
      </c>
      <c r="C9" s="86" t="s">
        <v>179</v>
      </c>
      <c r="D9" s="86">
        <v>2561.0</v>
      </c>
      <c r="E9" s="86">
        <v>0.7439024390243902</v>
      </c>
      <c r="F9" s="86">
        <v>0.0</v>
      </c>
      <c r="G9" s="86">
        <v>1.0</v>
      </c>
      <c r="H9" s="86">
        <v>0.0</v>
      </c>
      <c r="I9" s="86">
        <v>0.0</v>
      </c>
      <c r="J9" s="86">
        <v>0.858</v>
      </c>
      <c r="K9" s="86">
        <v>0.5754878048780487</v>
      </c>
      <c r="L9" s="86">
        <v>0.429</v>
      </c>
      <c r="M9" s="86">
        <v>0.2877439024390244</v>
      </c>
      <c r="N9" s="86">
        <v>0.2145</v>
      </c>
      <c r="O9" s="86">
        <v>0.5022439024390244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